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21:H34"/>
  <sheetViews>
    <sheetView workbookViewId="0">
      <selection activeCell="A1" sqref="A1"/>
    </sheetView>
  </sheetViews>
  <sheetFormatPr baseColWidth="8" defaultRowHeight="15"/>
  <sheetData>
    <row r="21">
      <c r="H21" t="inlineStr">
        <is>
          <t>Net IRR</t>
        </is>
      </c>
    </row>
    <row r="22">
      <c r="H22">
        <f>XIRR(NetCashflows, CashflowDates)</f>
        <v/>
      </c>
    </row>
    <row r="23">
      <c r="H23" t="inlineStr">
        <is>
          <t>Gross Deal IRR</t>
        </is>
      </c>
    </row>
    <row r="24">
      <c r="H24">
        <f>XIRR(GrossCashflows, CashflowDates)</f>
        <v/>
      </c>
    </row>
    <row r="25">
      <c r="H25" t="inlineStr">
        <is>
          <t>Realized IRR</t>
        </is>
      </c>
    </row>
    <row r="26">
      <c r="H26">
        <f>XIRR(RealizedCashflows, ExitDates)</f>
        <v/>
      </c>
    </row>
    <row r="27">
      <c r="H27" t="inlineStr">
        <is>
          <t>Fund MOIC</t>
        </is>
      </c>
    </row>
    <row r="28">
      <c r="H28">
        <f>(SUM(Distributions)+NAV)/PaidInCapital</f>
        <v/>
      </c>
    </row>
    <row r="29">
      <c r="H29" t="inlineStr">
        <is>
          <t>DPI</t>
        </is>
      </c>
    </row>
    <row r="30">
      <c r="H30">
        <f>SUM(Distributions)/PaidInCapital</f>
        <v/>
      </c>
    </row>
    <row r="31">
      <c r="H31" t="inlineStr">
        <is>
          <t>TVPI</t>
        </is>
      </c>
    </row>
    <row r="32">
      <c r="H32">
        <f>(SUM(Distributions)+NAV)/PaidInCapital</f>
        <v/>
      </c>
    </row>
    <row r="33">
      <c r="H33" t="inlineStr">
        <is>
          <t>Legacy Monthly IRR</t>
        </is>
      </c>
    </row>
    <row r="34">
      <c r="H34">
        <f>MIRR(MonthlyCashflows, FinanceRate, ReinvestRate)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2026-06-15T20:25:03Z</dcterms:created>
  <dcterms:modified xmlns:dcterms="http://purl.org/dc/terms/" xmlns:xsi="http://www.w3.org/2001/XMLSchema-instance" xsi:type="dcterms:W3CDTF">2026-06-15T20:25:03Z</dcterms:modified>
</cp:coreProperties>
</file>